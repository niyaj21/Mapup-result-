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495" windowWidth="20730" windowHeight="1176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6" l="1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22" i="19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F16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<sst xmlns="http://schemas.openxmlformats.org/spreadsheetml/2006/main" count="326" uniqueCount="181">
  <si>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</si>
  <si>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</si>
  <si>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</si>
  <si>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</si>
  <si>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</si>
  <si>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</si>
  <si>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</si>
  <si>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</si>
  <si>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</si>
  <si>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</si>
  <si>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</si>
  <si>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</si>
  <si>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</si>
  <si>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</si>
  <si>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</si>
  <si>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</si>
  <si>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</si>
  <si>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</si>
  <si>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</si>
  <si>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</si>
  <si>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</si>
  <si>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</si>
  <si>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</si>
  <si>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</si>
  <si>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</si>
  <si>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</si>
  <si>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</si>
  <si>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</si>
  <si>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</si>
  <si>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</si>
  <si>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</si>
  <si>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</si>
  <si>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</si>
  <si>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</si>
  <si>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</si>
  <si>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</si>
  <si>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</si>
  <si>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</si>
  <si>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</si>
  <si>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</si>
  <si>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</si>
  <si>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</si>
  <si>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</si>
  <si>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</si>
  <si>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</si>
  <si>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</si>
  <si>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</si>
  <si>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</si>
  <si>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</si>
  <si>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</si>
  <si>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</si>
  <si>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</si>
  <si>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</si>
  <si>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</si>
  <si>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</si>
  <si>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</si>
  <si>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</si>
  <si>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</si>
  <si>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</si>
  <si>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</si>
  <si>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</si>
  <si>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</si>
  <si>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</si>
  <si>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</si>
  <si>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</si>
  <si>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</si>
  <si>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</si>
  <si>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</si>
  <si>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</si>
  <si>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</si>
  <si>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</si>
  <si>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</si>
  <si>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</si>
  <si>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</si>
  <si>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</si>
  <si>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</si>
  <si>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</si>
  <si>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</si>
  <si>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</si>
  <si>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</si>
  <si>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</si>
  <si>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</si>
  <si>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</si>
  <si>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</si>
  <si>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</si>
  <si>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</si>
  <si>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</si>
  <si>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</si>
  <si>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</si>
  <si>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</si>
  <si>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</si>
  <si>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</si>
  <si>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</si>
  <si>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</si>
  <si>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</si>
  <si>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</si>
  <si>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</si>
  <si>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</si>
  <si>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</si>
  <si>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</si>
  <si>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</si>
  <si>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</si>
  <si>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</si>
  <si>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</si>
  <si>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</si>
  <si>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</si>
  <si>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</si>
  <si>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</si>
  <si>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</si>
  <si>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</si>
  <si>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</si>
  <si>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</si>
  <si>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</si>
  <si>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</si>
  <si>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</si>
  <si>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</si>
  <si>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</si>
  <si>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</si>
  <si>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</si>
  <si>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</si>
  <si>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</si>
  <si>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</si>
  <si>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</si>
  <si>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</si>
  <si>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</si>
  <si>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</si>
  <si>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</si>
  <si>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</si>
  <si>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</si>
  <si>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</si>
  <si>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</si>
  <si>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</si>
  <si>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</si>
  <si>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</si>
  <si>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</si>
  <si>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</si>
  <si>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</si>
  <si>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</si>
  <si>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</si>
  <si>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</si>
  <si>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</si>
  <si>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</si>
  <si>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</si>
  <si>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</si>
  <si>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</si>
  <si>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</si>
  <si>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</si>
  <si>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</si>
  <si>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</si>
  <si>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</si>
  <si>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</si>
  <si>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</si>
  <si>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</si>
  <si>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</si>
  <si>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</si>
  <si>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</si>
  <si>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</si>
  <si>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</si>
  <si>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</si>
  <si>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</si>
  <si>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</si>
  <si>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</si>
  <si>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</si>
  <si>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</si>
  <si>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</si>
  <si>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</si>
  <si>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</si>
  <si>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</si>
  <si>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</si>
  <si>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</si>
  <si>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</si>
  <si>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</si>
  <si>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</si>
  <si>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</si>
  <si>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</si>
  <si>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</si>
  <si>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</si>
  <si>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replace,sum</t>
  </si>
  <si>
    <t>Left,Right ,Mid,align text</t>
  </si>
  <si>
    <t>LEFT is beneficial when you want to extract a specific number of characters from the left side of a text string, which is often useful for retrieving fixed-length codes or IDs.RIGHT is helpful when you need to extract characters from the right side of a text string. It's commonly used to capture file extensions, last characters in a string, or retrieving specific information from the end.MID is versatile as it allows the extraction of a substring from within a larger text string. It's valuable for retrieving variable-length information or data situated between specific characters.These functions are efficient for handling text data and are extensively utilized in data manipulation, especially when dealing with text-based records, file names, or structured content with identifiable patterns. Their simplicity and versatility make them indispensable for text parsing and data extraction tasks in Excel.</t>
  </si>
  <si>
    <t>First of all I  selectedd the rows from 12-21 in the C column. Then I used the relace function to replace the #N/A values with 20. later on I used the sum functionn in the C22 cell and again selected the cells from C12-C21 in the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</si>
</sst>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ourier New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19" fillId="0" borderId="0" xfId="0" applyFont="1"/>
    <xf numFmtId="0" fontId="3" fillId="0" borderId="6" xfId="0" applyFont="1" applyBorder="1" applyAlignment="1">
      <alignment horizontal="right"/>
    </xf>
    <xf numFmtId="0" fontId="18" fillId="0" borderId="0" xfId="0" applyFont="1" applyAlignment="1">
      <alignment horizontal="right"/>
    </xf>
    <xf numFmtId="0" fontId="20" fillId="0" borderId="0" xfId="0" applyFont="1" applyAlignment="1">
      <alignment vertic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I1" zoomScaleNormal="100" workbookViewId="0">
      <pane ySplit="1" topLeftCell="A2" activePane="bottomLeft" state="frozen"/>
      <selection pane="bottomLeft" activeCell="AA9" sqref="AA9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30.83203125" style="45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1" priority="3"/>
  </conditionalFormatting>
  <conditionalFormatting sqref="B1:B1048576">
    <cfRule type="duplicateValues" dxfId="0" priority="2"/>
  </conditionalFormatting>
  <conditionalFormatting sqref="J1:L1048576">
    <cfRule type="colorScale" priority="1">
      <colorScale>
        <cfvo type="num" val="-1"/>
        <cfvo type="num" val="0"/>
        <color rgb="FFFF0000"/>
        <color theme="9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H24" sqref="H24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Dataset!G2</f>
        <v>2.7</v>
      </c>
      <c r="C6" s="11">
        <f>Dataset!N2</f>
        <v>7.6</v>
      </c>
      <c r="D6" s="11">
        <f>Dataset!R2</f>
        <v>4.2</v>
      </c>
      <c r="E6" s="11">
        <f>Dataset!T2</f>
        <v>8.9</v>
      </c>
      <c r="F6" s="8">
        <f>Dataset!V2</f>
        <v>4.2</v>
      </c>
    </row>
    <row r="7" spans="1:7" ht="15" x14ac:dyDescent="0.25">
      <c r="A7" s="7" t="s">
        <v>4</v>
      </c>
      <c r="B7" s="11">
        <f>Dataset!G3</f>
        <v>2.7</v>
      </c>
      <c r="C7" s="11">
        <f>Dataset!N3</f>
        <v>7.6</v>
      </c>
      <c r="D7" s="11">
        <f>Dataset!R3</f>
        <v>4.2</v>
      </c>
      <c r="E7" s="11">
        <f>Dataset!T3</f>
        <v>8.9</v>
      </c>
      <c r="F7" s="8">
        <f>Dataset!V3</f>
        <v>4.2</v>
      </c>
    </row>
    <row r="8" spans="1:7" ht="15" x14ac:dyDescent="0.25">
      <c r="A8" s="7" t="s">
        <v>7</v>
      </c>
      <c r="B8" s="11">
        <f>Dataset!G4</f>
        <v>3.6</v>
      </c>
      <c r="C8" s="11">
        <f>Dataset!N4</f>
        <v>11.1</v>
      </c>
      <c r="D8" s="11">
        <f>Dataset!R4</f>
        <v>5.8</v>
      </c>
      <c r="E8" s="11">
        <f>Dataset!T4</f>
        <v>12.2</v>
      </c>
      <c r="F8" s="8">
        <f>Dataset!V4</f>
        <v>5.8</v>
      </c>
    </row>
    <row r="9" spans="1:7" ht="15" x14ac:dyDescent="0.25">
      <c r="A9" s="7" t="s">
        <v>8</v>
      </c>
      <c r="B9" s="11">
        <f>Dataset!G5</f>
        <v>4.9000000000000004</v>
      </c>
      <c r="C9" s="11">
        <f>Dataset!N5</f>
        <v>13.3</v>
      </c>
      <c r="D9" s="11">
        <f>Dataset!R5</f>
        <v>8.1</v>
      </c>
      <c r="E9" s="11">
        <f>Dataset!T5</f>
        <v>17</v>
      </c>
      <c r="F9" s="8">
        <f>Dataset!V5</f>
        <v>8.1</v>
      </c>
    </row>
    <row r="10" spans="1:7" ht="15" x14ac:dyDescent="0.25">
      <c r="A10" s="7" t="s">
        <v>11</v>
      </c>
      <c r="B10" s="11">
        <f>Dataset!G6</f>
        <v>6.6</v>
      </c>
      <c r="C10" s="11">
        <f>Dataset!N6</f>
        <v>18</v>
      </c>
      <c r="D10" s="11">
        <f>Dataset!R6</f>
        <v>11</v>
      </c>
      <c r="E10" s="11">
        <f>Dataset!T6</f>
        <v>22.5</v>
      </c>
      <c r="F10" s="8">
        <f>Dataset!V6</f>
        <v>11</v>
      </c>
    </row>
    <row r="11" spans="1:7" ht="15" x14ac:dyDescent="0.25">
      <c r="A11" s="7" t="s">
        <v>12</v>
      </c>
      <c r="B11" s="11">
        <f>Dataset!G7</f>
        <v>7.1</v>
      </c>
      <c r="C11" s="11">
        <f>Dataset!N7</f>
        <v>21.5</v>
      </c>
      <c r="D11" s="11">
        <f>Dataset!R7</f>
        <v>12.8</v>
      </c>
      <c r="E11" s="11">
        <f>Dataset!T7</f>
        <v>26.1</v>
      </c>
      <c r="F11" s="8">
        <f>Dataset!V7</f>
        <v>12.8</v>
      </c>
    </row>
    <row r="12" spans="1:7" ht="15" x14ac:dyDescent="0.25">
      <c r="A12" s="7" t="s">
        <v>14</v>
      </c>
      <c r="B12" s="11">
        <f>Dataset!G8</f>
        <v>9.4</v>
      </c>
      <c r="C12" s="11">
        <f>Dataset!N8</f>
        <v>28.3</v>
      </c>
      <c r="D12" s="11">
        <f>Dataset!R8</f>
        <v>16.100000000000001</v>
      </c>
      <c r="E12" s="11">
        <f>Dataset!T8</f>
        <v>32.799999999999997</v>
      </c>
      <c r="F12" s="8">
        <f>Dataset!V8</f>
        <v>16.100000000000001</v>
      </c>
    </row>
    <row r="13" spans="1:7" ht="15" x14ac:dyDescent="0.25">
      <c r="A13" s="7" t="s">
        <v>15</v>
      </c>
      <c r="B13" s="11">
        <f>Dataset!G9</f>
        <v>11.6</v>
      </c>
      <c r="C13" s="11">
        <f>Dataset!N9</f>
        <v>35.200000000000003</v>
      </c>
      <c r="D13" s="11">
        <f>Dataset!R9</f>
        <v>21.3</v>
      </c>
      <c r="E13" s="11">
        <f>Dataset!T9</f>
        <v>43</v>
      </c>
      <c r="F13" s="8">
        <f>Dataset!V9</f>
        <v>21.3</v>
      </c>
    </row>
    <row r="14" spans="1:7" ht="15" x14ac:dyDescent="0.25">
      <c r="A14" s="7" t="s">
        <v>16</v>
      </c>
      <c r="B14" s="11">
        <f>Dataset!G10</f>
        <v>16.100000000000001</v>
      </c>
      <c r="C14" s="11">
        <f>Dataset!N10</f>
        <v>49</v>
      </c>
      <c r="D14" s="11">
        <f>Dataset!R10</f>
        <v>29.1</v>
      </c>
      <c r="E14" s="11">
        <f>Dataset!T10</f>
        <v>59</v>
      </c>
      <c r="F14" s="8">
        <f>Dataset!V10</f>
        <v>29.1</v>
      </c>
    </row>
    <row r="15" spans="1:7" ht="15" x14ac:dyDescent="0.25">
      <c r="A15" s="7" t="s">
        <v>18</v>
      </c>
      <c r="B15" s="11">
        <f>Dataset!G11</f>
        <v>18.399999999999999</v>
      </c>
      <c r="C15" s="11">
        <f>Dataset!N11</f>
        <v>55.6</v>
      </c>
      <c r="D15" s="11">
        <f>Dataset!R11</f>
        <v>33.799999999999997</v>
      </c>
      <c r="E15" s="11">
        <f>Dataset!T11</f>
        <v>67.900000000000006</v>
      </c>
      <c r="F15" s="8">
        <f>Dataset!V11</f>
        <v>33.799999999999997</v>
      </c>
    </row>
    <row r="16" spans="1:7" ht="15" x14ac:dyDescent="0.25">
      <c r="A16" s="7" t="s">
        <v>20</v>
      </c>
      <c r="B16" s="11">
        <f>Dataset!G12</f>
        <v>0</v>
      </c>
      <c r="C16" s="11">
        <f>Dataset!N12</f>
        <v>0</v>
      </c>
      <c r="D16" s="11">
        <f>Dataset!R12</f>
        <v>0</v>
      </c>
      <c r="E16" s="11">
        <f>Dataset!T12</f>
        <v>0</v>
      </c>
      <c r="F16" s="8">
        <f>Dataset!V12</f>
        <v>0</v>
      </c>
    </row>
    <row r="17" spans="1:6" ht="15" x14ac:dyDescent="0.25">
      <c r="A17" s="7" t="s">
        <v>22</v>
      </c>
      <c r="B17" s="11">
        <f>Dataset!G13</f>
        <v>21.9</v>
      </c>
      <c r="C17" s="11">
        <f>Dataset!N13</f>
        <v>61.5</v>
      </c>
      <c r="D17" s="11">
        <f>Dataset!R13</f>
        <v>40.1</v>
      </c>
      <c r="E17" s="11">
        <f>Dataset!T13</f>
        <v>76.599999999999994</v>
      </c>
      <c r="F17" s="8">
        <f>Dataset!V13</f>
        <v>40.1</v>
      </c>
    </row>
    <row r="18" spans="1:6" ht="15" x14ac:dyDescent="0.25">
      <c r="A18" s="7" t="s">
        <v>23</v>
      </c>
      <c r="B18" s="11">
        <f>Dataset!G14</f>
        <v>23.5</v>
      </c>
      <c r="C18" s="11">
        <f>Dataset!N14</f>
        <v>70.8</v>
      </c>
      <c r="D18" s="11">
        <f>Dataset!R14</f>
        <v>42.7</v>
      </c>
      <c r="E18" s="11">
        <f>Dataset!T14</f>
        <v>86.6</v>
      </c>
      <c r="F18" s="8">
        <f>Dataset!V14</f>
        <v>42.7</v>
      </c>
    </row>
    <row r="19" spans="1:6" ht="15" x14ac:dyDescent="0.25">
      <c r="A19" s="7" t="s">
        <v>24</v>
      </c>
      <c r="B19" s="11">
        <f>Dataset!G15</f>
        <v>26.8</v>
      </c>
      <c r="C19" s="11">
        <f>Dataset!N15</f>
        <v>79.599999999999994</v>
      </c>
      <c r="D19" s="11">
        <f>Dataset!R15</f>
        <v>47.9</v>
      </c>
      <c r="E19" s="11">
        <f>Dataset!T15</f>
        <v>96.8</v>
      </c>
      <c r="F19" s="8">
        <f>Dataset!V15</f>
        <v>47.9</v>
      </c>
    </row>
    <row r="20" spans="1:6" ht="15" x14ac:dyDescent="0.25">
      <c r="A20" s="7" t="s">
        <v>28</v>
      </c>
      <c r="B20" s="11">
        <f>Dataset!G16</f>
        <v>28</v>
      </c>
      <c r="C20" s="11">
        <f>Dataset!N16</f>
        <v>83.2</v>
      </c>
      <c r="D20" s="11">
        <f>Dataset!R16</f>
        <v>50.1</v>
      </c>
      <c r="E20" s="11">
        <f>Dataset!T16</f>
        <v>101.3</v>
      </c>
      <c r="F20" s="8">
        <f>Dataset!V16</f>
        <v>50.1</v>
      </c>
    </row>
    <row r="21" spans="1:6" ht="15" x14ac:dyDescent="0.25">
      <c r="A21" s="7" t="s">
        <v>57</v>
      </c>
      <c r="B21" s="11">
        <f>Dataset!G17</f>
        <v>28.5</v>
      </c>
      <c r="C21" s="11">
        <f>Dataset!N17</f>
        <v>85.4</v>
      </c>
      <c r="D21" s="11">
        <f>Dataset!R17</f>
        <v>52.3</v>
      </c>
      <c r="E21" s="11">
        <f>Dataset!T17</f>
        <v>106.1</v>
      </c>
      <c r="F21" s="8">
        <f>Dataset!V17</f>
        <v>52.3</v>
      </c>
    </row>
    <row r="22" spans="1:6" ht="15" x14ac:dyDescent="0.25">
      <c r="A22" s="7" t="s">
        <v>58</v>
      </c>
      <c r="B22" s="11">
        <f>Dataset!G18</f>
        <v>29.1</v>
      </c>
      <c r="C22" s="11">
        <f>Dataset!N18</f>
        <v>87.6</v>
      </c>
      <c r="D22" s="11">
        <f>Dataset!R18</f>
        <v>53.7</v>
      </c>
      <c r="E22" s="11">
        <f>Dataset!T18</f>
        <v>108.8</v>
      </c>
      <c r="F22" s="8">
        <f>Dataset!V18</f>
        <v>53.7</v>
      </c>
    </row>
    <row r="23" spans="1:6" ht="15" x14ac:dyDescent="0.25">
      <c r="A23" s="7" t="s">
        <v>31</v>
      </c>
      <c r="B23" s="11">
        <f>Dataset!G19</f>
        <v>30.7</v>
      </c>
      <c r="C23" s="11">
        <f>Dataset!N19</f>
        <v>92.1</v>
      </c>
      <c r="D23" s="11">
        <f>Dataset!R19</f>
        <v>57</v>
      </c>
      <c r="E23" s="11">
        <f>Dataset!T19</f>
        <v>115.1</v>
      </c>
      <c r="F23" s="8">
        <f>Dataset!V19</f>
        <v>57</v>
      </c>
    </row>
    <row r="24" spans="1:6" ht="15" x14ac:dyDescent="0.25">
      <c r="A24" s="7" t="s">
        <v>32</v>
      </c>
      <c r="B24" s="11">
        <f>Dataset!G20</f>
        <v>33.799999999999997</v>
      </c>
      <c r="C24" s="11">
        <f>Dataset!N20</f>
        <v>101.3</v>
      </c>
      <c r="D24" s="11">
        <f>Dataset!R20</f>
        <v>61.4</v>
      </c>
      <c r="E24" s="11">
        <f>Dataset!T20</f>
        <v>124.4</v>
      </c>
      <c r="F24" s="8">
        <f>Dataset!V20</f>
        <v>61.4</v>
      </c>
    </row>
    <row r="25" spans="1:6" ht="15" x14ac:dyDescent="0.25">
      <c r="A25" s="7" t="s">
        <v>34</v>
      </c>
      <c r="B25" s="11">
        <f>Dataset!G21</f>
        <v>34.700000000000003</v>
      </c>
      <c r="C25" s="11">
        <f>Dataset!N21</f>
        <v>106.1</v>
      </c>
      <c r="D25" s="11">
        <f>Dataset!R21</f>
        <v>63.6</v>
      </c>
      <c r="E25" s="11">
        <f>Dataset!T21</f>
        <v>128.6</v>
      </c>
      <c r="F25" s="8">
        <f>Dataset!V21</f>
        <v>63.6</v>
      </c>
    </row>
    <row r="26" spans="1:6" ht="15" x14ac:dyDescent="0.25">
      <c r="A26" s="7" t="s">
        <v>37</v>
      </c>
      <c r="B26" s="11">
        <f>Dataset!G22</f>
        <v>36.5</v>
      </c>
      <c r="C26" s="11">
        <f>Dataset!N22</f>
        <v>110.3</v>
      </c>
      <c r="D26" s="11">
        <f>Dataset!R22</f>
        <v>65.900000000000006</v>
      </c>
      <c r="E26" s="11">
        <f>Dataset!T22</f>
        <v>133.4</v>
      </c>
      <c r="F26" s="8">
        <f>Dataset!V22</f>
        <v>65.900000000000006</v>
      </c>
    </row>
    <row r="27" spans="1:6" ht="15" x14ac:dyDescent="0.25">
      <c r="A27" s="7" t="s">
        <v>39</v>
      </c>
      <c r="B27" s="11">
        <f>Dataset!G23</f>
        <v>38</v>
      </c>
      <c r="C27" s="11">
        <f>Dataset!N23</f>
        <v>115.5</v>
      </c>
      <c r="D27" s="11">
        <f>Dataset!R23</f>
        <v>68.7</v>
      </c>
      <c r="E27" s="11">
        <f>Dataset!T23</f>
        <v>138.80000000000001</v>
      </c>
      <c r="F27" s="8">
        <f>Dataset!V23</f>
        <v>68.7</v>
      </c>
    </row>
    <row r="28" spans="1:6" ht="15" x14ac:dyDescent="0.25">
      <c r="A28" s="18" t="s">
        <v>82</v>
      </c>
      <c r="B28" s="11">
        <f>MIN(B6:B27)</f>
        <v>0</v>
      </c>
      <c r="C28" s="11">
        <f t="shared" ref="C28:F28" si="0">MIN(C6:C27)</f>
        <v>0</v>
      </c>
      <c r="D28" s="11">
        <f t="shared" si="0"/>
        <v>0</v>
      </c>
      <c r="E28" s="11">
        <f t="shared" si="0"/>
        <v>0</v>
      </c>
      <c r="F28" s="11">
        <f t="shared" si="0"/>
        <v>0</v>
      </c>
    </row>
    <row r="29" spans="1:6" ht="15" x14ac:dyDescent="0.25">
      <c r="A29" s="18" t="s">
        <v>83</v>
      </c>
      <c r="B29" s="11">
        <f>MAX(B6:B27)</f>
        <v>38</v>
      </c>
      <c r="C29" s="11">
        <f t="shared" ref="C29:F29" si="1">MAX(C6:C27)</f>
        <v>115.5</v>
      </c>
      <c r="D29" s="11">
        <f t="shared" si="1"/>
        <v>68.7</v>
      </c>
      <c r="E29" s="11">
        <f t="shared" si="1"/>
        <v>138.80000000000001</v>
      </c>
      <c r="F29" s="11">
        <f t="shared" si="1"/>
        <v>68.7</v>
      </c>
    </row>
    <row r="30" spans="1:6" ht="15" x14ac:dyDescent="0.25">
      <c r="A30" s="18" t="s">
        <v>84</v>
      </c>
      <c r="B30" s="11">
        <f>AVERAGE(B6:B27)</f>
        <v>18.845454545454547</v>
      </c>
      <c r="C30" s="11">
        <f t="shared" ref="C30:F30" si="2">AVERAGE(C6:C27)</f>
        <v>56.390909090909098</v>
      </c>
      <c r="D30" s="11">
        <f t="shared" si="2"/>
        <v>34.081818181818186</v>
      </c>
      <c r="E30" s="11">
        <f t="shared" si="2"/>
        <v>68.854545454545459</v>
      </c>
      <c r="F30" s="11">
        <f t="shared" si="2"/>
        <v>34.081818181818186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3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178</v>
      </c>
    </row>
    <row r="6" spans="1:10" ht="18.75" x14ac:dyDescent="0.3">
      <c r="A6" s="41" t="s">
        <v>153</v>
      </c>
      <c r="B6" s="49" t="s">
        <v>179</v>
      </c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48" t="str">
        <f t="shared" ref="B16:B54" si="0">LEFT(A16,FIND("-",A16)-1)</f>
        <v>20000</v>
      </c>
      <c r="C16" s="1" t="str">
        <f>MID(A16, FIND("-", A16) + 1, FIND("-", A16, FIND("-", A16) + 1) - FIND("-", A16) - 1)</f>
        <v>Monday</v>
      </c>
      <c r="D16" s="47" t="str">
        <f>MID(A16, FIND("-", A16, FIND("-", A16) + 1) + 1, FIND("-", A16, FIND("-", A16, FIND("-", A16) + 1) + 1) - FIND("-", A16, FIND("-", A16) + 1) - 1)</f>
        <v>0</v>
      </c>
      <c r="E16" s="46" t="str">
        <f>MID(A16,FIND("-",A16,FIND("-",A16,FIND("-",A16)+1)+1)+1,FIND("-",A16,FIND("-",A16,FIND("-",A16,FIND("-",A16)+1)+1)+1)-FIND("-",A16,FIND("-",A16,FIND("-",A16)+1)+1)-1)</f>
        <v>Sunday</v>
      </c>
      <c r="F16" s="47" t="str">
        <f>RIGHT(A16,FIND("-",A16)-4)</f>
        <v>24</v>
      </c>
    </row>
    <row r="17" spans="1:6" x14ac:dyDescent="0.25">
      <c r="A17" s="7" t="s">
        <v>122</v>
      </c>
      <c r="B17" s="48" t="str">
        <f t="shared" si="0"/>
        <v>20002</v>
      </c>
      <c r="C17" s="1" t="str">
        <f t="shared" ref="C17:C54" si="1">MID(A17, FIND("-", A17) + 1, FIND("-", A17, FIND("-", A17) + 1) - FIND("-", A17) - 1)</f>
        <v>Monday</v>
      </c>
      <c r="D17" s="47" t="str">
        <f t="shared" ref="D17:D54" si="2">MID(A17, FIND("-", A17, FIND("-", A17) + 1) + 1, FIND("-", A17, FIND("-", A17, FIND("-", A17) + 1) + 1) - FIND("-", A17, FIND("-", A17) + 1) - 1)</f>
        <v>0</v>
      </c>
      <c r="E17" s="46" t="str">
        <f t="shared" ref="E17:E54" si="3">MID(A17,FIND("-",A17,FIND("-",A17,FIND("-",A17)+1)+1)+1,FIND("-",A17,FIND("-",A17,FIND("-",A17,FIND("-",A17)+1)+1)+1)-FIND("-",A17,FIND("-",A17,FIND("-",A17)+1)+1)-1)</f>
        <v>Sunday</v>
      </c>
      <c r="F17" s="47" t="str">
        <f t="shared" ref="F17:F54" si="4">RIGHT(A17,FIND("-",A17)-4)</f>
        <v>24</v>
      </c>
    </row>
    <row r="18" spans="1:6" x14ac:dyDescent="0.25">
      <c r="A18" s="7" t="s">
        <v>123</v>
      </c>
      <c r="B18" s="48" t="str">
        <f t="shared" si="0"/>
        <v>20004</v>
      </c>
      <c r="C18" s="1" t="str">
        <f t="shared" si="1"/>
        <v>Monday</v>
      </c>
      <c r="D18" s="47" t="str">
        <f t="shared" si="2"/>
        <v>0</v>
      </c>
      <c r="E18" s="46" t="str">
        <f t="shared" si="3"/>
        <v>Sunday</v>
      </c>
      <c r="F18" s="47" t="str">
        <f t="shared" si="4"/>
        <v>24</v>
      </c>
    </row>
    <row r="19" spans="1:6" x14ac:dyDescent="0.25">
      <c r="A19" s="7" t="s">
        <v>124</v>
      </c>
      <c r="B19" s="48" t="str">
        <f t="shared" si="0"/>
        <v>20006</v>
      </c>
      <c r="C19" s="1" t="str">
        <f t="shared" si="1"/>
        <v>Monday</v>
      </c>
      <c r="D19" s="47" t="str">
        <f t="shared" si="2"/>
        <v>0</v>
      </c>
      <c r="E19" s="46" t="str">
        <f t="shared" si="3"/>
        <v>Sunday</v>
      </c>
      <c r="F19" s="47" t="str">
        <f t="shared" si="4"/>
        <v>24</v>
      </c>
    </row>
    <row r="20" spans="1:6" x14ac:dyDescent="0.25">
      <c r="A20" s="7" t="s">
        <v>125</v>
      </c>
      <c r="B20" s="48" t="str">
        <f t="shared" si="0"/>
        <v>20008</v>
      </c>
      <c r="C20" s="1" t="str">
        <f t="shared" si="1"/>
        <v>Monday</v>
      </c>
      <c r="D20" s="47" t="str">
        <f t="shared" si="2"/>
        <v>0</v>
      </c>
      <c r="E20" s="46" t="str">
        <f t="shared" si="3"/>
        <v>Sunday</v>
      </c>
      <c r="F20" s="47" t="str">
        <f t="shared" si="4"/>
        <v>24</v>
      </c>
    </row>
    <row r="21" spans="1:6" x14ac:dyDescent="0.25">
      <c r="A21" s="7" t="s">
        <v>126</v>
      </c>
      <c r="B21" s="48" t="str">
        <f t="shared" si="0"/>
        <v>20010</v>
      </c>
      <c r="C21" s="1" t="str">
        <f t="shared" si="1"/>
        <v>Monday</v>
      </c>
      <c r="D21" s="47" t="str">
        <f t="shared" si="2"/>
        <v>0</v>
      </c>
      <c r="E21" s="46" t="str">
        <f t="shared" si="3"/>
        <v>Sunday</v>
      </c>
      <c r="F21" s="47" t="str">
        <f t="shared" si="4"/>
        <v>24</v>
      </c>
    </row>
    <row r="22" spans="1:6" x14ac:dyDescent="0.25">
      <c r="A22" s="7" t="s">
        <v>127</v>
      </c>
      <c r="B22" s="48" t="str">
        <f t="shared" si="0"/>
        <v>20012</v>
      </c>
      <c r="C22" s="1" t="str">
        <f t="shared" si="1"/>
        <v>Monday</v>
      </c>
      <c r="D22" s="47" t="str">
        <f t="shared" si="2"/>
        <v>0</v>
      </c>
      <c r="E22" s="46" t="str">
        <f t="shared" si="3"/>
        <v>Sunday</v>
      </c>
      <c r="F22" s="47" t="str">
        <f t="shared" si="4"/>
        <v>24</v>
      </c>
    </row>
    <row r="23" spans="1:6" x14ac:dyDescent="0.25">
      <c r="A23" s="7" t="s">
        <v>128</v>
      </c>
      <c r="B23" s="48" t="str">
        <f t="shared" si="0"/>
        <v>20014</v>
      </c>
      <c r="C23" s="1" t="str">
        <f t="shared" si="1"/>
        <v>Monday</v>
      </c>
      <c r="D23" s="47" t="str">
        <f t="shared" si="2"/>
        <v>0</v>
      </c>
      <c r="E23" s="46" t="str">
        <f t="shared" si="3"/>
        <v>Sunday</v>
      </c>
      <c r="F23" s="47" t="str">
        <f t="shared" si="4"/>
        <v>24</v>
      </c>
    </row>
    <row r="24" spans="1:6" x14ac:dyDescent="0.25">
      <c r="A24" s="7" t="s">
        <v>129</v>
      </c>
      <c r="B24" s="48" t="str">
        <f t="shared" si="0"/>
        <v>20016</v>
      </c>
      <c r="C24" s="1" t="str">
        <f t="shared" si="1"/>
        <v>Monday</v>
      </c>
      <c r="D24" s="47" t="str">
        <f t="shared" si="2"/>
        <v>0</v>
      </c>
      <c r="E24" s="46" t="str">
        <f t="shared" si="3"/>
        <v>Sunday</v>
      </c>
      <c r="F24" s="47" t="str">
        <f t="shared" si="4"/>
        <v>24</v>
      </c>
    </row>
    <row r="25" spans="1:6" x14ac:dyDescent="0.25">
      <c r="A25" s="7" t="s">
        <v>130</v>
      </c>
      <c r="B25" s="48" t="str">
        <f t="shared" si="0"/>
        <v>20018</v>
      </c>
      <c r="C25" s="1" t="str">
        <f t="shared" si="1"/>
        <v>Monday</v>
      </c>
      <c r="D25" s="47" t="str">
        <f t="shared" si="2"/>
        <v>0</v>
      </c>
      <c r="E25" s="46" t="str">
        <f t="shared" si="3"/>
        <v>Sunday</v>
      </c>
      <c r="F25" s="47" t="str">
        <f t="shared" si="4"/>
        <v>24</v>
      </c>
    </row>
    <row r="26" spans="1:6" x14ac:dyDescent="0.25">
      <c r="A26" s="7" t="s">
        <v>131</v>
      </c>
      <c r="B26" s="48" t="str">
        <f t="shared" si="0"/>
        <v>20020</v>
      </c>
      <c r="C26" s="1" t="str">
        <f t="shared" si="1"/>
        <v>Monday</v>
      </c>
      <c r="D26" s="47" t="str">
        <f t="shared" si="2"/>
        <v>0</v>
      </c>
      <c r="E26" s="46" t="str">
        <f t="shared" si="3"/>
        <v>Sunday</v>
      </c>
      <c r="F26" s="47" t="str">
        <f t="shared" si="4"/>
        <v>24</v>
      </c>
    </row>
    <row r="27" spans="1:6" x14ac:dyDescent="0.25">
      <c r="A27" s="7" t="s">
        <v>132</v>
      </c>
      <c r="B27" s="48" t="str">
        <f t="shared" si="0"/>
        <v>20022</v>
      </c>
      <c r="C27" s="1" t="str">
        <f t="shared" si="1"/>
        <v>Monday</v>
      </c>
      <c r="D27" s="47" t="str">
        <f t="shared" si="2"/>
        <v>0</v>
      </c>
      <c r="E27" s="46" t="str">
        <f t="shared" si="3"/>
        <v>Sunday</v>
      </c>
      <c r="F27" s="47" t="str">
        <f t="shared" si="4"/>
        <v>24</v>
      </c>
    </row>
    <row r="28" spans="1:6" x14ac:dyDescent="0.25">
      <c r="A28" s="7" t="s">
        <v>133</v>
      </c>
      <c r="B28" s="48" t="str">
        <f t="shared" si="0"/>
        <v>20024</v>
      </c>
      <c r="C28" s="1" t="str">
        <f t="shared" si="1"/>
        <v>Monday</v>
      </c>
      <c r="D28" s="47" t="str">
        <f t="shared" si="2"/>
        <v>0</v>
      </c>
      <c r="E28" s="46" t="str">
        <f t="shared" si="3"/>
        <v>Sunday</v>
      </c>
      <c r="F28" s="47" t="str">
        <f t="shared" si="4"/>
        <v>24</v>
      </c>
    </row>
    <row r="29" spans="1:6" x14ac:dyDescent="0.25">
      <c r="A29" s="7" t="s">
        <v>134</v>
      </c>
      <c r="B29" s="48" t="str">
        <f t="shared" si="0"/>
        <v>20026</v>
      </c>
      <c r="C29" s="1" t="str">
        <f t="shared" si="1"/>
        <v>Monday</v>
      </c>
      <c r="D29" s="47" t="str">
        <f t="shared" si="2"/>
        <v>0</v>
      </c>
      <c r="E29" s="46" t="str">
        <f t="shared" si="3"/>
        <v>Sunday</v>
      </c>
      <c r="F29" s="47" t="str">
        <f t="shared" si="4"/>
        <v>24</v>
      </c>
    </row>
    <row r="30" spans="1:6" x14ac:dyDescent="0.25">
      <c r="A30" s="7" t="s">
        <v>135</v>
      </c>
      <c r="B30" s="48" t="str">
        <f t="shared" si="0"/>
        <v>20028</v>
      </c>
      <c r="C30" s="1" t="str">
        <f t="shared" si="1"/>
        <v>Monday</v>
      </c>
      <c r="D30" s="47" t="str">
        <f t="shared" si="2"/>
        <v>0</v>
      </c>
      <c r="E30" s="46" t="str">
        <f t="shared" si="3"/>
        <v>Sunday</v>
      </c>
      <c r="F30" s="47" t="str">
        <f t="shared" si="4"/>
        <v>24</v>
      </c>
    </row>
    <row r="31" spans="1:6" x14ac:dyDescent="0.25">
      <c r="A31" s="7" t="s">
        <v>136</v>
      </c>
      <c r="B31" s="48" t="str">
        <f t="shared" si="0"/>
        <v>20030</v>
      </c>
      <c r="C31" s="1" t="str">
        <f t="shared" si="1"/>
        <v>Monday</v>
      </c>
      <c r="D31" s="47" t="str">
        <f t="shared" si="2"/>
        <v>0</v>
      </c>
      <c r="E31" s="46" t="str">
        <f t="shared" si="3"/>
        <v>Sunday</v>
      </c>
      <c r="F31" s="47" t="str">
        <f t="shared" si="4"/>
        <v>24</v>
      </c>
    </row>
    <row r="32" spans="1:6" x14ac:dyDescent="0.25">
      <c r="A32" s="7" t="s">
        <v>137</v>
      </c>
      <c r="B32" s="48" t="str">
        <f t="shared" si="0"/>
        <v>20032</v>
      </c>
      <c r="C32" s="1" t="str">
        <f t="shared" si="1"/>
        <v>Monday</v>
      </c>
      <c r="D32" s="47" t="str">
        <f t="shared" si="2"/>
        <v>0</v>
      </c>
      <c r="E32" s="46" t="str">
        <f t="shared" si="3"/>
        <v>Sunday</v>
      </c>
      <c r="F32" s="47" t="str">
        <f t="shared" si="4"/>
        <v>24</v>
      </c>
    </row>
    <row r="33" spans="1:6" x14ac:dyDescent="0.25">
      <c r="A33" s="7" t="s">
        <v>138</v>
      </c>
      <c r="B33" s="48" t="str">
        <f t="shared" si="0"/>
        <v>20034</v>
      </c>
      <c r="C33" s="1" t="str">
        <f t="shared" si="1"/>
        <v>Monday</v>
      </c>
      <c r="D33" s="47" t="str">
        <f t="shared" si="2"/>
        <v>0</v>
      </c>
      <c r="E33" s="46" t="str">
        <f t="shared" si="3"/>
        <v>Sunday</v>
      </c>
      <c r="F33" s="47" t="str">
        <f t="shared" si="4"/>
        <v>24</v>
      </c>
    </row>
    <row r="34" spans="1:6" x14ac:dyDescent="0.25">
      <c r="A34" s="7" t="s">
        <v>139</v>
      </c>
      <c r="B34" s="48" t="str">
        <f t="shared" si="0"/>
        <v>20036</v>
      </c>
      <c r="C34" s="1" t="str">
        <f t="shared" si="1"/>
        <v>Monday</v>
      </c>
      <c r="D34" s="47" t="str">
        <f t="shared" si="2"/>
        <v>0</v>
      </c>
      <c r="E34" s="46" t="str">
        <f t="shared" si="3"/>
        <v>Sunday</v>
      </c>
      <c r="F34" s="47" t="str">
        <f t="shared" si="4"/>
        <v>24</v>
      </c>
    </row>
    <row r="35" spans="1:6" x14ac:dyDescent="0.25">
      <c r="A35" s="7" t="s">
        <v>140</v>
      </c>
      <c r="B35" s="48" t="str">
        <f t="shared" si="0"/>
        <v>20038</v>
      </c>
      <c r="C35" s="1" t="str">
        <f t="shared" si="1"/>
        <v>Monday</v>
      </c>
      <c r="D35" s="47" t="str">
        <f t="shared" si="2"/>
        <v>0</v>
      </c>
      <c r="E35" s="46" t="str">
        <f t="shared" si="3"/>
        <v>Sunday</v>
      </c>
      <c r="F35" s="47" t="str">
        <f t="shared" si="4"/>
        <v>24</v>
      </c>
    </row>
    <row r="36" spans="1:6" x14ac:dyDescent="0.25">
      <c r="A36" s="7" t="s">
        <v>141</v>
      </c>
      <c r="B36" s="48" t="str">
        <f t="shared" si="0"/>
        <v>20040</v>
      </c>
      <c r="C36" s="1" t="str">
        <f t="shared" si="1"/>
        <v>Monday</v>
      </c>
      <c r="D36" s="47" t="str">
        <f t="shared" si="2"/>
        <v>0</v>
      </c>
      <c r="E36" s="46" t="str">
        <f t="shared" si="3"/>
        <v>Sunday</v>
      </c>
      <c r="F36" s="47" t="str">
        <f t="shared" si="4"/>
        <v>24</v>
      </c>
    </row>
    <row r="37" spans="1:6" x14ac:dyDescent="0.25">
      <c r="A37" s="7" t="s">
        <v>142</v>
      </c>
      <c r="B37" s="48" t="str">
        <f t="shared" si="0"/>
        <v>20042</v>
      </c>
      <c r="C37" s="1" t="str">
        <f t="shared" si="1"/>
        <v>Monday</v>
      </c>
      <c r="D37" s="47" t="str">
        <f t="shared" si="2"/>
        <v>0</v>
      </c>
      <c r="E37" s="46" t="str">
        <f t="shared" si="3"/>
        <v>Sunday</v>
      </c>
      <c r="F37" s="47" t="str">
        <f t="shared" si="4"/>
        <v>24</v>
      </c>
    </row>
    <row r="38" spans="1:6" x14ac:dyDescent="0.25">
      <c r="A38" s="7" t="s">
        <v>143</v>
      </c>
      <c r="B38" s="48" t="str">
        <f t="shared" si="0"/>
        <v>20044</v>
      </c>
      <c r="C38" s="1" t="str">
        <f t="shared" si="1"/>
        <v>Monday</v>
      </c>
      <c r="D38" s="47" t="str">
        <f t="shared" si="2"/>
        <v>0</v>
      </c>
      <c r="E38" s="46" t="str">
        <f t="shared" si="3"/>
        <v>Sunday</v>
      </c>
      <c r="F38" s="47" t="str">
        <f t="shared" si="4"/>
        <v>24</v>
      </c>
    </row>
    <row r="39" spans="1:6" x14ac:dyDescent="0.25">
      <c r="A39" s="7" t="s">
        <v>144</v>
      </c>
      <c r="B39" s="48" t="str">
        <f t="shared" si="0"/>
        <v>20046</v>
      </c>
      <c r="C39" s="1" t="str">
        <f t="shared" si="1"/>
        <v>Monday</v>
      </c>
      <c r="D39" s="47" t="str">
        <f t="shared" si="2"/>
        <v>0</v>
      </c>
      <c r="E39" s="46" t="str">
        <f t="shared" si="3"/>
        <v>Sunday</v>
      </c>
      <c r="F39" s="47" t="str">
        <f t="shared" si="4"/>
        <v>24</v>
      </c>
    </row>
    <row r="40" spans="1:6" x14ac:dyDescent="0.25">
      <c r="A40" s="7" t="s">
        <v>145</v>
      </c>
      <c r="B40" s="48" t="str">
        <f t="shared" si="0"/>
        <v>20048</v>
      </c>
      <c r="C40" s="1" t="str">
        <f t="shared" si="1"/>
        <v>Monday</v>
      </c>
      <c r="D40" s="47" t="str">
        <f t="shared" si="2"/>
        <v>0</v>
      </c>
      <c r="E40" s="46" t="str">
        <f t="shared" si="3"/>
        <v>Sunday</v>
      </c>
      <c r="F40" s="47" t="str">
        <f t="shared" si="4"/>
        <v>24</v>
      </c>
    </row>
    <row r="41" spans="1:6" x14ac:dyDescent="0.25">
      <c r="A41" s="7" t="s">
        <v>146</v>
      </c>
      <c r="B41" s="48" t="str">
        <f t="shared" si="0"/>
        <v>20050</v>
      </c>
      <c r="C41" s="1" t="str">
        <f t="shared" si="1"/>
        <v>Monday</v>
      </c>
      <c r="D41" s="47" t="str">
        <f t="shared" si="2"/>
        <v>0</v>
      </c>
      <c r="E41" s="46" t="str">
        <f t="shared" si="3"/>
        <v>Sunday</v>
      </c>
      <c r="F41" s="47" t="str">
        <f t="shared" si="4"/>
        <v>24</v>
      </c>
    </row>
    <row r="42" spans="1:6" x14ac:dyDescent="0.25">
      <c r="A42" s="7" t="s">
        <v>147</v>
      </c>
      <c r="B42" s="48" t="str">
        <f t="shared" si="0"/>
        <v>20052</v>
      </c>
      <c r="C42" s="1" t="str">
        <f t="shared" si="1"/>
        <v>Monday</v>
      </c>
      <c r="D42" s="47" t="str">
        <f t="shared" si="2"/>
        <v>0</v>
      </c>
      <c r="E42" s="46" t="str">
        <f t="shared" si="3"/>
        <v>Sunday</v>
      </c>
      <c r="F42" s="47" t="str">
        <f t="shared" si="4"/>
        <v>24</v>
      </c>
    </row>
    <row r="43" spans="1:6" x14ac:dyDescent="0.25">
      <c r="A43" s="7" t="s">
        <v>148</v>
      </c>
      <c r="B43" s="48" t="str">
        <f t="shared" si="0"/>
        <v>20054</v>
      </c>
      <c r="C43" s="1" t="str">
        <f t="shared" si="1"/>
        <v>Monday</v>
      </c>
      <c r="D43" s="47" t="str">
        <f t="shared" si="2"/>
        <v>0</v>
      </c>
      <c r="E43" s="46" t="str">
        <f t="shared" si="3"/>
        <v>Sunday</v>
      </c>
      <c r="F43" s="47" t="str">
        <f t="shared" si="4"/>
        <v>24</v>
      </c>
    </row>
    <row r="44" spans="1:6" x14ac:dyDescent="0.25">
      <c r="A44" s="7" t="s">
        <v>149</v>
      </c>
      <c r="B44" s="48" t="str">
        <f t="shared" si="0"/>
        <v>20058</v>
      </c>
      <c r="C44" s="1" t="str">
        <f t="shared" si="1"/>
        <v>Monday</v>
      </c>
      <c r="D44" s="47" t="str">
        <f t="shared" si="2"/>
        <v>0</v>
      </c>
      <c r="E44" s="46" t="str">
        <f t="shared" si="3"/>
        <v>Sunday</v>
      </c>
      <c r="F44" s="47" t="str">
        <f t="shared" si="4"/>
        <v>24</v>
      </c>
    </row>
    <row r="45" spans="1:6" x14ac:dyDescent="0.25">
      <c r="A45" s="7" t="s">
        <v>150</v>
      </c>
      <c r="B45" s="48" t="str">
        <f t="shared" si="0"/>
        <v>20060</v>
      </c>
      <c r="C45" s="1" t="str">
        <f t="shared" si="1"/>
        <v>Monday</v>
      </c>
      <c r="D45" s="47" t="str">
        <f t="shared" si="2"/>
        <v>0</v>
      </c>
      <c r="E45" s="46" t="str">
        <f t="shared" si="3"/>
        <v>Sunday</v>
      </c>
      <c r="F45" s="47" t="str">
        <f t="shared" si="4"/>
        <v>24</v>
      </c>
    </row>
    <row r="46" spans="1:6" x14ac:dyDescent="0.25">
      <c r="A46" s="7" t="s">
        <v>112</v>
      </c>
      <c r="B46" s="48" t="str">
        <f t="shared" si="0"/>
        <v>21000</v>
      </c>
      <c r="C46" s="1" t="str">
        <f t="shared" si="1"/>
        <v>Monday</v>
      </c>
      <c r="D46" s="47" t="str">
        <f t="shared" si="2"/>
        <v>0</v>
      </c>
      <c r="E46" s="46" t="str">
        <f t="shared" si="3"/>
        <v>Sunday</v>
      </c>
      <c r="F46" s="47" t="str">
        <f t="shared" si="4"/>
        <v>24</v>
      </c>
    </row>
    <row r="47" spans="1:6" x14ac:dyDescent="0.25">
      <c r="A47" s="7" t="s">
        <v>113</v>
      </c>
      <c r="B47" s="48" t="str">
        <f t="shared" si="0"/>
        <v>21002</v>
      </c>
      <c r="C47" s="1" t="str">
        <f t="shared" si="1"/>
        <v>Monday</v>
      </c>
      <c r="D47" s="47" t="str">
        <f t="shared" si="2"/>
        <v>0</v>
      </c>
      <c r="E47" s="46" t="str">
        <f t="shared" si="3"/>
        <v>Sunday</v>
      </c>
      <c r="F47" s="47" t="str">
        <f t="shared" si="4"/>
        <v>24</v>
      </c>
    </row>
    <row r="48" spans="1:6" x14ac:dyDescent="0.25">
      <c r="A48" s="7" t="s">
        <v>114</v>
      </c>
      <c r="B48" s="48" t="str">
        <f t="shared" si="0"/>
        <v>21004</v>
      </c>
      <c r="C48" s="1" t="str">
        <f t="shared" si="1"/>
        <v>Monday</v>
      </c>
      <c r="D48" s="47" t="str">
        <f t="shared" si="2"/>
        <v>0</v>
      </c>
      <c r="E48" s="46" t="str">
        <f t="shared" si="3"/>
        <v>Sunday</v>
      </c>
      <c r="F48" s="47" t="str">
        <f t="shared" si="4"/>
        <v>24</v>
      </c>
    </row>
    <row r="49" spans="1:6" x14ac:dyDescent="0.25">
      <c r="A49" s="7" t="s">
        <v>115</v>
      </c>
      <c r="B49" s="48" t="str">
        <f t="shared" si="0"/>
        <v>21006</v>
      </c>
      <c r="C49" s="1" t="str">
        <f t="shared" si="1"/>
        <v>Monday</v>
      </c>
      <c r="D49" s="47" t="str">
        <f t="shared" si="2"/>
        <v>0</v>
      </c>
      <c r="E49" s="46" t="str">
        <f t="shared" si="3"/>
        <v>Sunday</v>
      </c>
      <c r="F49" s="47" t="str">
        <f t="shared" si="4"/>
        <v>24</v>
      </c>
    </row>
    <row r="50" spans="1:6" x14ac:dyDescent="0.25">
      <c r="A50" s="7" t="s">
        <v>116</v>
      </c>
      <c r="B50" s="48" t="str">
        <f t="shared" si="0"/>
        <v>21008</v>
      </c>
      <c r="C50" s="1" t="str">
        <f t="shared" si="1"/>
        <v>Monday</v>
      </c>
      <c r="D50" s="47" t="str">
        <f t="shared" si="2"/>
        <v>0</v>
      </c>
      <c r="E50" s="46" t="str">
        <f t="shared" si="3"/>
        <v>Sunday</v>
      </c>
      <c r="F50" s="47" t="str">
        <f t="shared" si="4"/>
        <v>24</v>
      </c>
    </row>
    <row r="51" spans="1:6" x14ac:dyDescent="0.25">
      <c r="A51" s="7" t="s">
        <v>117</v>
      </c>
      <c r="B51" s="48" t="str">
        <f t="shared" si="0"/>
        <v>21010</v>
      </c>
      <c r="C51" s="1" t="str">
        <f t="shared" si="1"/>
        <v>Monday</v>
      </c>
      <c r="D51" s="47" t="str">
        <f t="shared" si="2"/>
        <v>0</v>
      </c>
      <c r="E51" s="46" t="str">
        <f t="shared" si="3"/>
        <v>Sunday</v>
      </c>
      <c r="F51" s="47" t="str">
        <f t="shared" si="4"/>
        <v>24</v>
      </c>
    </row>
    <row r="52" spans="1:6" x14ac:dyDescent="0.25">
      <c r="A52" s="7" t="s">
        <v>118</v>
      </c>
      <c r="B52" s="48" t="str">
        <f t="shared" si="0"/>
        <v>21012</v>
      </c>
      <c r="C52" s="1" t="str">
        <f t="shared" si="1"/>
        <v>Monday</v>
      </c>
      <c r="D52" s="47" t="str">
        <f t="shared" si="2"/>
        <v>0</v>
      </c>
      <c r="E52" s="46" t="str">
        <f t="shared" si="3"/>
        <v>Sunday</v>
      </c>
      <c r="F52" s="47" t="str">
        <f t="shared" si="4"/>
        <v>24</v>
      </c>
    </row>
    <row r="53" spans="1:6" x14ac:dyDescent="0.25">
      <c r="A53" s="7" t="s">
        <v>119</v>
      </c>
      <c r="B53" s="48" t="str">
        <f t="shared" si="0"/>
        <v>21014</v>
      </c>
      <c r="C53" s="1" t="str">
        <f t="shared" si="1"/>
        <v>Monday</v>
      </c>
      <c r="D53" s="47" t="str">
        <f t="shared" si="2"/>
        <v>0</v>
      </c>
      <c r="E53" s="46" t="str">
        <f t="shared" si="3"/>
        <v>Sunday</v>
      </c>
      <c r="F53" s="47" t="str">
        <f t="shared" si="4"/>
        <v>24</v>
      </c>
    </row>
    <row r="54" spans="1:6" x14ac:dyDescent="0.25">
      <c r="A54" s="9" t="s">
        <v>120</v>
      </c>
      <c r="B54" s="48" t="str">
        <f t="shared" si="0"/>
        <v>21016</v>
      </c>
      <c r="C54" s="1" t="str">
        <f t="shared" si="1"/>
        <v>Monday</v>
      </c>
      <c r="D54" s="47" t="str">
        <f t="shared" si="2"/>
        <v>0</v>
      </c>
      <c r="E54" s="46" t="str">
        <f t="shared" si="3"/>
        <v>Sunday</v>
      </c>
      <c r="F54" s="47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8" sqref="B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177</v>
      </c>
    </row>
    <row r="7" spans="1:3" ht="15" x14ac:dyDescent="0.25">
      <c r="A7" s="3" t="s">
        <v>153</v>
      </c>
      <c r="B7" s="1" t="s">
        <v>180</v>
      </c>
    </row>
    <row r="10" spans="1:3" ht="23.25" x14ac:dyDescent="0.35">
      <c r="A10" s="17" t="s">
        <v>162</v>
      </c>
    </row>
    <row r="11" spans="1:3" ht="15" x14ac:dyDescent="0.25">
      <c r="A11" s="30" t="s">
        <v>86</v>
      </c>
      <c r="B11" s="16" t="s">
        <v>87</v>
      </c>
      <c r="C11" s="16" t="s">
        <v>88</v>
      </c>
    </row>
    <row r="12" spans="1:3" ht="15" x14ac:dyDescent="0.25">
      <c r="A12" s="30">
        <v>44927</v>
      </c>
      <c r="B12" s="16" t="s">
        <v>59</v>
      </c>
      <c r="C12" s="16">
        <v>200</v>
      </c>
    </row>
    <row r="13" spans="1:3" ht="15" x14ac:dyDescent="0.25">
      <c r="A13" s="30">
        <v>44928</v>
      </c>
      <c r="B13" s="16" t="s">
        <v>60</v>
      </c>
      <c r="C13" s="16">
        <v>20</v>
      </c>
    </row>
    <row r="14" spans="1:3" ht="15" x14ac:dyDescent="0.25">
      <c r="A14" s="30">
        <v>44929</v>
      </c>
      <c r="B14" s="16" t="s">
        <v>61</v>
      </c>
      <c r="C14" s="16">
        <v>50</v>
      </c>
    </row>
    <row r="15" spans="1:3" ht="15" x14ac:dyDescent="0.25">
      <c r="A15" s="30">
        <v>44930</v>
      </c>
      <c r="B15" s="16" t="s">
        <v>62</v>
      </c>
      <c r="C15" s="16">
        <v>20</v>
      </c>
    </row>
    <row r="16" spans="1:3" ht="15" x14ac:dyDescent="0.25">
      <c r="A16" s="30">
        <v>44931</v>
      </c>
      <c r="B16" s="16" t="s">
        <v>63</v>
      </c>
      <c r="C16" s="16">
        <v>10</v>
      </c>
    </row>
    <row r="17" spans="1:3" ht="15" x14ac:dyDescent="0.25">
      <c r="A17" s="30">
        <v>44932</v>
      </c>
      <c r="B17" s="16" t="s">
        <v>154</v>
      </c>
      <c r="C17" s="16">
        <v>150</v>
      </c>
    </row>
    <row r="18" spans="1:3" ht="15" x14ac:dyDescent="0.25">
      <c r="A18" s="30">
        <v>44933</v>
      </c>
      <c r="B18" s="16" t="s">
        <v>155</v>
      </c>
      <c r="C18" s="16">
        <v>80</v>
      </c>
    </row>
    <row r="19" spans="1:3" ht="15" x14ac:dyDescent="0.25">
      <c r="A19" s="30">
        <v>44934</v>
      </c>
      <c r="B19" s="16" t="s">
        <v>156</v>
      </c>
      <c r="C19" s="16">
        <v>20</v>
      </c>
    </row>
    <row r="20" spans="1:3" ht="15" x14ac:dyDescent="0.25">
      <c r="A20" s="30">
        <v>44935</v>
      </c>
      <c r="B20" s="16" t="s">
        <v>157</v>
      </c>
      <c r="C20" s="16">
        <v>30</v>
      </c>
    </row>
    <row r="21" spans="1:3" ht="15" x14ac:dyDescent="0.25">
      <c r="A21" s="30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6" zoomScaleNormal="100" workbookViewId="0">
      <selection activeCell="F5" sqref="F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/>
    </row>
    <row r="24" spans="1:14" ht="15" x14ac:dyDescent="0.25">
      <c r="A24" s="7">
        <v>10100</v>
      </c>
      <c r="B24" s="11">
        <v>10104</v>
      </c>
      <c r="C24" s="42"/>
    </row>
    <row r="25" spans="1:14" ht="15" x14ac:dyDescent="0.25">
      <c r="A25" s="7">
        <v>10108</v>
      </c>
      <c r="B25" s="11">
        <v>10102</v>
      </c>
      <c r="C25" s="42"/>
    </row>
    <row r="26" spans="1:14" ht="15" x14ac:dyDescent="0.25">
      <c r="A26" s="7">
        <v>10100</v>
      </c>
      <c r="B26" s="11">
        <v>10106</v>
      </c>
      <c r="C26" s="42"/>
    </row>
    <row r="27" spans="1:14" ht="15" x14ac:dyDescent="0.25">
      <c r="A27" s="7">
        <v>10108</v>
      </c>
      <c r="B27" s="11">
        <v>10110</v>
      </c>
      <c r="C27" s="42"/>
    </row>
    <row r="28" spans="1:14" ht="15" x14ac:dyDescent="0.25">
      <c r="A28" s="7">
        <v>10102</v>
      </c>
      <c r="B28" s="11">
        <v>10104</v>
      </c>
      <c r="C28" s="42"/>
    </row>
    <row r="29" spans="1:14" ht="15" x14ac:dyDescent="0.25">
      <c r="A29" s="7">
        <v>10106</v>
      </c>
      <c r="B29" s="11">
        <v>10108</v>
      </c>
      <c r="C29" s="42"/>
    </row>
    <row r="30" spans="1:14" ht="15" x14ac:dyDescent="0.25">
      <c r="A30" s="7">
        <v>10102</v>
      </c>
      <c r="B30" s="11">
        <v>10106</v>
      </c>
      <c r="C30" s="42"/>
    </row>
    <row r="31" spans="1:14" ht="15" x14ac:dyDescent="0.25">
      <c r="A31" s="7">
        <v>10110</v>
      </c>
      <c r="B31" s="11">
        <v>10114</v>
      </c>
      <c r="C31" s="42"/>
    </row>
    <row r="32" spans="1:14" ht="15" x14ac:dyDescent="0.25">
      <c r="A32" s="7">
        <v>10104</v>
      </c>
      <c r="B32" s="11">
        <v>10106</v>
      </c>
      <c r="C32" s="42"/>
    </row>
    <row r="33" spans="1:3" ht="15" x14ac:dyDescent="0.25">
      <c r="A33" s="7">
        <v>10110</v>
      </c>
      <c r="B33" s="11">
        <v>10112</v>
      </c>
      <c r="C33" s="42"/>
    </row>
    <row r="34" spans="1:3" ht="15" x14ac:dyDescent="0.25">
      <c r="A34" s="7">
        <v>10100</v>
      </c>
      <c r="B34" s="11">
        <v>10114</v>
      </c>
      <c r="C34" s="42"/>
    </row>
    <row r="35" spans="1:3" ht="15" x14ac:dyDescent="0.25">
      <c r="A35" s="9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2023-12-10T12:01:49Z</dcterms:modified>
</cp:coreProperties>
</file>